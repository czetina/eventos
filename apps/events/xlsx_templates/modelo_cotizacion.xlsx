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Zetina Toache\Downloads\"/>
    </mc:Choice>
  </mc:AlternateContent>
  <xr:revisionPtr revIDLastSave="0" documentId="13_ncr:1_{EAA86915-313A-4779-9915-EE1BED8E4C70}" xr6:coauthVersionLast="47" xr6:coauthVersionMax="47" xr10:uidLastSave="{00000000-0000-0000-0000-000000000000}"/>
  <bookViews>
    <workbookView xWindow="-975" yWindow="-11640" windowWidth="20730" windowHeight="11040" xr2:uid="{3B06D968-B208-4F93-A4EE-167E6B2227A8}"/>
  </bookViews>
  <sheets>
    <sheet name="COTIZACION" sheetId="1" r:id="rId1"/>
    <sheet name="t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1" l="1"/>
  <c r="C7" i="1" s="1"/>
  <c r="E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D15" i="2"/>
  <c r="C15" i="2"/>
  <c r="C17" i="2" s="1"/>
  <c r="E14" i="2"/>
  <c r="E13" i="2"/>
  <c r="E12" i="2"/>
  <c r="D11" i="2"/>
  <c r="E11" i="2" s="1"/>
  <c r="D10" i="2"/>
  <c r="E10" i="2" s="1"/>
  <c r="D9" i="2"/>
  <c r="E9" i="2" s="1"/>
  <c r="D8" i="2"/>
  <c r="E8" i="2" s="1"/>
  <c r="D7" i="2"/>
  <c r="E7" i="2" s="1"/>
  <c r="D4" i="2"/>
  <c r="E4" i="2" s="1"/>
  <c r="E16" i="2" s="1"/>
  <c r="C4" i="2"/>
  <c r="C1" i="2"/>
  <c r="J17" i="1"/>
  <c r="D6" i="2" s="1"/>
  <c r="I24" i="1" l="1"/>
  <c r="K24" i="1" s="1"/>
  <c r="D17" i="2"/>
  <c r="E6" i="2"/>
  <c r="E15" i="2"/>
  <c r="I26" i="1" l="1"/>
  <c r="E17" i="2"/>
  <c r="G20" i="2" s="1"/>
</calcChain>
</file>

<file path=xl/sharedStrings.xml><?xml version="1.0" encoding="utf-8"?>
<sst xmlns="http://schemas.openxmlformats.org/spreadsheetml/2006/main" count="65" uniqueCount="56">
  <si>
    <t>PARA ENTREGAR manana o miercoles</t>
  </si>
  <si>
    <t>THE BUTCHER SHOP</t>
  </si>
  <si>
    <t>AJUSTE DE GASTOS REAL 6 ABRIL 2021</t>
  </si>
  <si>
    <t>Mar Casabe con Romero</t>
  </si>
  <si>
    <t>PRESUPUESTO 2 cajas</t>
  </si>
  <si>
    <t>STW Asiago Cheese Cracker 5 0z</t>
  </si>
  <si>
    <t>FECHA</t>
  </si>
  <si>
    <t>DETALLE</t>
  </si>
  <si>
    <t>REAL PESOS</t>
  </si>
  <si>
    <t>PRESUPUESTADO</t>
  </si>
  <si>
    <t>BENEFICIO</t>
  </si>
  <si>
    <t>Column1</t>
  </si>
  <si>
    <t>Bodd Strawberry 28 gr</t>
  </si>
  <si>
    <t>abril 6, 2021</t>
  </si>
  <si>
    <t>THE BUTCHERSHOP</t>
  </si>
  <si>
    <t>Dok di San daniel 24 meses 0.25 lb</t>
  </si>
  <si>
    <t>caja</t>
  </si>
  <si>
    <t>Vega Q. Oveja curado con Trufa 0.25 LB</t>
  </si>
  <si>
    <t>sticker caja</t>
  </si>
  <si>
    <t>Coom Mature cheddar uk 0.25 LB</t>
  </si>
  <si>
    <t>Transporte</t>
  </si>
  <si>
    <t>NRJ walnuts kerneels halves hano cr</t>
  </si>
  <si>
    <t>Tarjeta agradecimiento</t>
  </si>
  <si>
    <t>SIM salame ungherese 0.25 LB</t>
  </si>
  <si>
    <t>Mano de obra</t>
  </si>
  <si>
    <t>Vegt Aceituna con jalapenos picante</t>
  </si>
  <si>
    <t>Sticker Caja</t>
  </si>
  <si>
    <t>ganancia yo  estimado en cotizacion fee 100</t>
  </si>
  <si>
    <t xml:space="preserve">Transporte </t>
  </si>
  <si>
    <t>ganancia por cambio de moneda</t>
  </si>
  <si>
    <t>Tarjeta Agradecimiento opalina F/C blanca</t>
  </si>
  <si>
    <t>GRAN TOTAL</t>
  </si>
  <si>
    <t>GANANCIA REAL DE ESTE TRABAJO</t>
  </si>
  <si>
    <t>SOLO CAJA</t>
  </si>
  <si>
    <t>mano de obra</t>
  </si>
  <si>
    <t>fee unico 100 dolares</t>
  </si>
  <si>
    <t>fee unico ganancia 100 limpios</t>
  </si>
  <si>
    <t>total cliente</t>
  </si>
  <si>
    <t>OJO REBAJA DE 7 DOLARES PARA CUADRAR</t>
  </si>
  <si>
    <t>ganancia yo</t>
  </si>
  <si>
    <t>Cliente</t>
  </si>
  <si>
    <t>nombre cliente</t>
  </si>
  <si>
    <t>Fecha de Realizacion</t>
  </si>
  <si>
    <t>proveedor</t>
  </si>
  <si>
    <t>supermercado</t>
  </si>
  <si>
    <t>nacional</t>
  </si>
  <si>
    <t>suplidor</t>
  </si>
  <si>
    <t>imprenta</t>
  </si>
  <si>
    <t>transporte</t>
  </si>
  <si>
    <t>cantidad</t>
  </si>
  <si>
    <t>DOP</t>
  </si>
  <si>
    <t>USD</t>
  </si>
  <si>
    <t>TC</t>
  </si>
  <si>
    <t>ayudas</t>
  </si>
  <si>
    <t>actividad</t>
  </si>
  <si>
    <t>hp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</si>
</sst>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color rgb="FFFF0000"/>
      <name val="Calibri"/>
      <family val="2"/>
    </font>
    <font>
      <sz val="11"/>
      <color rgb="FF70AD4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/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164" fontId="2" fillId="0" borderId="0" xfId="1" applyNumberFormat="1" applyFont="1" applyFill="1" applyBorder="1"/>
    <xf numFmtId="164" fontId="2" fillId="3" borderId="0" xfId="1" applyNumberFormat="1" applyFont="1" applyFill="1" applyBorder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3" fontId="2" fillId="4" borderId="3" xfId="0" applyNumberFormat="1" applyFont="1" applyFill="1" applyBorder="1"/>
    <xf numFmtId="164" fontId="2" fillId="0" borderId="0" xfId="0" applyNumberFormat="1" applyFont="1"/>
    <xf numFmtId="43" fontId="2" fillId="0" borderId="0" xfId="1" applyFont="1"/>
    <xf numFmtId="43" fontId="0" fillId="0" borderId="0" xfId="1" applyFont="1"/>
    <xf numFmtId="0" fontId="3" fillId="2" borderId="0" xfId="0" applyFont="1" applyFill="1" applyAlignment="1"/>
    <xf numFmtId="14" fontId="0" fillId="0" borderId="0" xfId="0" applyNumberForma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FFC000"/>
        </top>
      </border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color rgb="FF000000"/>
      </font>
      <border>
        <left style="thin">
          <color rgb="FFFFD966"/>
        </left>
        <right style="thin">
          <color rgb="FFFFD966"/>
        </right>
        <top style="thin">
          <color rgb="FFFFD966"/>
        </top>
        <bottom style="thin">
          <color rgb="FFFFD966"/>
        </bottom>
        <horizontal style="thin">
          <color rgb="FFFFD966"/>
        </horizontal>
      </border>
    </dxf>
  </dxfs>
  <tableStyles count="1" defaultTableStyle="TableStyleMedium2" defaultPivotStyle="PivotStyleLight16">
    <tableStyle name="TableStyleMedium5 2" pivot="0" count="7" xr9:uid="{C8D70684-C4DB-447A-94E8-B87E5B998B2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2AE79-F061-41BB-9256-107A38E3D250}" name="Table283137" displayName="Table283137" ref="A5:F17" totalsRowShown="0">
  <autoFilter ref="A5:F17" xr:uid="{51B2AE79-F061-41BB-9256-107A38E3D250}"/>
  <tableColumns count="6">
    <tableColumn id="1" xr3:uid="{7074390D-8ECE-4C1B-9C82-9AD8E9567202}" name="FECHA"/>
    <tableColumn id="2" xr3:uid="{DFE17D36-5A49-4576-A07B-E4ECD2399118}" name="DETALLE"/>
    <tableColumn id="3" xr3:uid="{E2DC3130-568C-4BD4-B97C-C09F9ADA606A}" name="REAL PESOS"/>
    <tableColumn id="4" xr3:uid="{937E85AC-9772-4795-9C7C-55B97976F177}" name="PRESUPUESTADO"/>
    <tableColumn id="5" xr3:uid="{1C81ABB8-6B5C-4042-825C-11B8657C0DB6}" name="BENEFICIO">
      <calculatedColumnFormula>Table283137[[#This Row],[PRESUPUESTADO]]-Table283137[[#This Row],[REAL PESOS]]</calculatedColumnFormula>
    </tableColumn>
    <tableColumn id="6" xr3:uid="{E6DB9CB7-7C77-4660-8077-94345A492588}" name="Column1"/>
  </tableColumns>
  <tableStyleInfo name="TableStyleMedium5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8DE1-5599-42C3-ABFE-320B47137DF2}">
  <dimension ref="A1:X28"/>
  <sheetViews>
    <sheetView tabSelected="1" zoomScale="85" zoomScaleNormal="85" workbookViewId="0">
      <selection activeCell="E8" sqref="E8"/>
    </sheetView>
  </sheetViews>
  <sheetFormatPr baseColWidth="10" defaultRowHeight="14.25" x14ac:dyDescent="0.45"/>
  <cols>
    <col min="1" max="1" width="9.3984375" bestFit="1" customWidth="1"/>
    <col min="2" max="2" width="17.265625" bestFit="1" customWidth="1"/>
    <col min="3" max="3" width="32.06640625" customWidth="1"/>
    <col min="4" max="4" width="9.796875" style="17" customWidth="1"/>
    <col min="5" max="5" width="8.86328125" bestFit="1" customWidth="1"/>
    <col min="6" max="7" width="8.86328125" customWidth="1"/>
    <col min="8" max="8" width="10.19921875" hidden="1" customWidth="1"/>
    <col min="9" max="9" width="6.73046875" style="13" hidden="1" customWidth="1"/>
    <col min="10" max="10" width="4.73046875" hidden="1" customWidth="1"/>
    <col min="11" max="11" width="11.73046875" hidden="1" customWidth="1"/>
    <col min="12" max="12" width="0" hidden="1" customWidth="1"/>
    <col min="17" max="17" width="31.6640625" bestFit="1" customWidth="1"/>
    <col min="18" max="18" width="37.265625" bestFit="1" customWidth="1"/>
    <col min="19" max="19" width="12.73046875" bestFit="1" customWidth="1"/>
    <col min="20" max="20" width="17.53125" bestFit="1" customWidth="1"/>
    <col min="21" max="21" width="11.796875" bestFit="1" customWidth="1"/>
    <col min="22" max="22" width="29.3984375" bestFit="1" customWidth="1"/>
  </cols>
  <sheetData>
    <row r="1" spans="2:24" x14ac:dyDescent="0.45">
      <c r="B1" s="1"/>
    </row>
    <row r="2" spans="2:24" x14ac:dyDescent="0.45">
      <c r="B2" t="s">
        <v>42</v>
      </c>
      <c r="C2" s="15">
        <v>46063</v>
      </c>
    </row>
    <row r="3" spans="2:24" x14ac:dyDescent="0.45">
      <c r="B3" t="s">
        <v>40</v>
      </c>
      <c r="C3" t="s">
        <v>41</v>
      </c>
      <c r="E3" s="12" t="s">
        <v>52</v>
      </c>
      <c r="F3" s="12">
        <v>49</v>
      </c>
    </row>
    <row r="4" spans="2:24" x14ac:dyDescent="0.45">
      <c r="B4" s="1" t="s">
        <v>54</v>
      </c>
      <c r="C4" s="1" t="s">
        <v>55</v>
      </c>
      <c r="D4" s="16"/>
      <c r="E4" s="12" t="s">
        <v>50</v>
      </c>
      <c r="F4" s="12" t="s">
        <v>51</v>
      </c>
      <c r="G4" s="1"/>
      <c r="H4" s="1"/>
      <c r="I4" s="12"/>
      <c r="J4" s="1"/>
      <c r="K4" s="1"/>
      <c r="L4" s="1"/>
      <c r="M4" s="1"/>
      <c r="N4" s="1"/>
      <c r="O4" s="1"/>
      <c r="P4" s="1"/>
      <c r="X4" s="1"/>
    </row>
    <row r="5" spans="2:24" x14ac:dyDescent="0.45">
      <c r="B5" s="1"/>
      <c r="C5" s="1"/>
      <c r="D5" s="16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X5" s="1"/>
    </row>
    <row r="6" spans="2:24" x14ac:dyDescent="0.45">
      <c r="B6" s="1" t="s">
        <v>43</v>
      </c>
      <c r="C6" s="1" t="s">
        <v>0</v>
      </c>
      <c r="D6" s="16"/>
      <c r="G6" s="12"/>
      <c r="J6" s="1"/>
      <c r="K6" s="1"/>
      <c r="L6" s="1"/>
      <c r="M6" s="1"/>
      <c r="N6" s="1"/>
      <c r="O6" s="1"/>
      <c r="P6" s="1"/>
      <c r="X6" s="1"/>
    </row>
    <row r="7" spans="2:24" ht="18" x14ac:dyDescent="0.55000000000000004">
      <c r="C7" s="14" t="str">
        <f>"Caja Charcuteria"&amp;" USD "&amp;TEXT(F24,"#,###.##")</f>
        <v>Caja Charcuteria USD 66.86</v>
      </c>
      <c r="D7" s="18" t="s">
        <v>49</v>
      </c>
      <c r="G7" s="12"/>
      <c r="J7" s="1"/>
      <c r="K7" s="1"/>
      <c r="L7" s="1"/>
      <c r="M7" s="1"/>
      <c r="N7" s="1"/>
      <c r="O7" s="1"/>
      <c r="P7" s="1"/>
      <c r="X7" s="1"/>
    </row>
    <row r="8" spans="2:24" x14ac:dyDescent="0.45">
      <c r="B8" s="1" t="s">
        <v>44</v>
      </c>
      <c r="C8" s="1" t="s">
        <v>3</v>
      </c>
      <c r="D8" s="16">
        <v>1</v>
      </c>
      <c r="E8" s="12">
        <v>205</v>
      </c>
      <c r="F8" s="12">
        <f>E8/$F$3</f>
        <v>4.1836734693877551</v>
      </c>
      <c r="G8" s="12"/>
      <c r="J8" s="1"/>
      <c r="K8" s="1"/>
      <c r="L8" s="1"/>
      <c r="M8" s="1"/>
      <c r="N8" s="1"/>
      <c r="O8" s="1"/>
      <c r="P8" s="1"/>
      <c r="X8" s="1"/>
    </row>
    <row r="9" spans="2:24" x14ac:dyDescent="0.45">
      <c r="B9" s="1" t="s">
        <v>1</v>
      </c>
      <c r="C9" s="1" t="s">
        <v>5</v>
      </c>
      <c r="D9" s="16">
        <v>1</v>
      </c>
      <c r="E9" s="12">
        <v>425</v>
      </c>
      <c r="F9" s="12">
        <f>E9/$F$3</f>
        <v>8.6734693877551017</v>
      </c>
      <c r="G9" s="12"/>
      <c r="J9" s="1"/>
      <c r="K9" s="1"/>
      <c r="L9" s="1"/>
      <c r="M9" s="1"/>
      <c r="N9" s="1"/>
      <c r="O9" s="1"/>
      <c r="P9" s="1"/>
      <c r="X9" s="1"/>
    </row>
    <row r="10" spans="2:24" x14ac:dyDescent="0.45">
      <c r="B10" s="1" t="s">
        <v>1</v>
      </c>
      <c r="C10" s="5" t="s">
        <v>12</v>
      </c>
      <c r="D10" s="16">
        <v>1</v>
      </c>
      <c r="E10" s="12">
        <v>95</v>
      </c>
      <c r="F10" s="12">
        <f>E10/$F$3</f>
        <v>1.9387755102040816</v>
      </c>
      <c r="G10" s="12"/>
      <c r="J10" s="1"/>
      <c r="K10" s="1"/>
      <c r="L10" s="1"/>
      <c r="M10" s="1"/>
      <c r="N10" s="1"/>
      <c r="O10" s="1"/>
      <c r="P10" s="1"/>
      <c r="X10" s="1"/>
    </row>
    <row r="11" spans="2:24" x14ac:dyDescent="0.45">
      <c r="B11" s="1" t="s">
        <v>1</v>
      </c>
      <c r="C11" s="5" t="s">
        <v>15</v>
      </c>
      <c r="D11" s="16">
        <v>1</v>
      </c>
      <c r="E11" s="12">
        <v>474.75</v>
      </c>
      <c r="F11" s="12">
        <f>E11/$F$3</f>
        <v>9.6887755102040813</v>
      </c>
      <c r="G11" s="12"/>
      <c r="J11" s="1"/>
      <c r="K11" s="1"/>
      <c r="L11" s="1"/>
      <c r="M11" s="1"/>
      <c r="N11" s="1"/>
      <c r="O11" s="1"/>
      <c r="P11" s="1"/>
      <c r="X11" s="1"/>
    </row>
    <row r="12" spans="2:24" ht="28.5" x14ac:dyDescent="0.45">
      <c r="B12" s="1" t="s">
        <v>45</v>
      </c>
      <c r="C12" s="5" t="s">
        <v>17</v>
      </c>
      <c r="D12" s="16">
        <v>1</v>
      </c>
      <c r="E12" s="12">
        <v>231.25</v>
      </c>
      <c r="F12" s="12">
        <f>E12/$F$3</f>
        <v>4.7193877551020407</v>
      </c>
      <c r="G12" s="12"/>
      <c r="J12" s="1"/>
      <c r="K12" s="1"/>
      <c r="L12" s="1"/>
      <c r="M12" s="1"/>
      <c r="N12" s="1"/>
      <c r="O12" s="1"/>
      <c r="P12" s="1"/>
      <c r="X12" s="1"/>
    </row>
    <row r="13" spans="2:24" x14ac:dyDescent="0.45">
      <c r="B13" s="1" t="s">
        <v>45</v>
      </c>
      <c r="C13" s="5" t="s">
        <v>19</v>
      </c>
      <c r="D13" s="16">
        <v>1</v>
      </c>
      <c r="E13" s="12">
        <v>111.25</v>
      </c>
      <c r="F13" s="12">
        <f>E13/$F$3</f>
        <v>2.2704081632653059</v>
      </c>
      <c r="G13" s="12"/>
      <c r="J13" s="1"/>
      <c r="K13" s="1"/>
      <c r="L13" s="1"/>
      <c r="M13" s="1"/>
      <c r="N13" s="1"/>
      <c r="O13" s="1"/>
      <c r="P13" s="1"/>
      <c r="X13" s="1"/>
    </row>
    <row r="14" spans="2:24" x14ac:dyDescent="0.45">
      <c r="B14" s="1" t="s">
        <v>45</v>
      </c>
      <c r="C14" s="5" t="s">
        <v>21</v>
      </c>
      <c r="D14" s="16">
        <v>1</v>
      </c>
      <c r="E14" s="12">
        <v>285</v>
      </c>
      <c r="F14" s="12">
        <f>E14/$F$3</f>
        <v>5.8163265306122449</v>
      </c>
      <c r="G14" s="12"/>
      <c r="J14" s="1"/>
      <c r="K14" s="1"/>
      <c r="L14" s="1"/>
      <c r="M14" s="1"/>
      <c r="N14" s="1"/>
      <c r="O14" s="1"/>
      <c r="P14" s="1"/>
      <c r="X14" s="1"/>
    </row>
    <row r="15" spans="2:24" x14ac:dyDescent="0.45">
      <c r="B15" s="1" t="s">
        <v>45</v>
      </c>
      <c r="C15" s="5" t="s">
        <v>23</v>
      </c>
      <c r="D15" s="16">
        <v>1</v>
      </c>
      <c r="E15" s="12">
        <v>99.75</v>
      </c>
      <c r="F15" s="12">
        <f>E15/$F$3</f>
        <v>2.0357142857142856</v>
      </c>
      <c r="G15" s="12"/>
      <c r="J15" s="1"/>
      <c r="K15" s="1"/>
      <c r="L15" s="1"/>
      <c r="M15" s="1"/>
      <c r="N15" s="1"/>
      <c r="O15" s="1"/>
      <c r="P15" s="1"/>
      <c r="X15" s="1"/>
    </row>
    <row r="16" spans="2:24" x14ac:dyDescent="0.45">
      <c r="B16" s="1" t="s">
        <v>45</v>
      </c>
      <c r="C16" s="5" t="s">
        <v>25</v>
      </c>
      <c r="D16" s="16">
        <v>1</v>
      </c>
      <c r="E16" s="12">
        <v>199</v>
      </c>
      <c r="F16" s="12">
        <f>E16/$F$3</f>
        <v>4.0612244897959187</v>
      </c>
      <c r="G16" s="12"/>
      <c r="J16" s="1"/>
      <c r="K16" s="1"/>
      <c r="L16" s="1"/>
      <c r="M16" s="1"/>
      <c r="N16" s="1"/>
      <c r="O16" s="1"/>
      <c r="P16" s="1"/>
      <c r="X16" s="1"/>
    </row>
    <row r="17" spans="1:24" x14ac:dyDescent="0.45">
      <c r="B17" s="1" t="s">
        <v>46</v>
      </c>
      <c r="C17" s="5" t="s">
        <v>16</v>
      </c>
      <c r="D17" s="16">
        <v>1</v>
      </c>
      <c r="E17" s="12">
        <v>100</v>
      </c>
      <c r="F17" s="12">
        <f>E17/$F$3</f>
        <v>2.0408163265306123</v>
      </c>
      <c r="G17" s="12"/>
      <c r="J17" s="1">
        <f>SUM(E8:E16)</f>
        <v>2126</v>
      </c>
      <c r="K17" s="1"/>
      <c r="L17" s="1"/>
      <c r="M17" s="1"/>
      <c r="N17" s="1"/>
      <c r="O17" s="1"/>
      <c r="P17" s="1"/>
      <c r="X17" s="1"/>
    </row>
    <row r="18" spans="1:24" x14ac:dyDescent="0.45">
      <c r="B18" s="1" t="s">
        <v>47</v>
      </c>
      <c r="C18" s="5" t="s">
        <v>26</v>
      </c>
      <c r="D18" s="16">
        <v>1</v>
      </c>
      <c r="E18" s="12">
        <v>50</v>
      </c>
      <c r="F18" s="12">
        <f>E18/$F$3</f>
        <v>1.0204081632653061</v>
      </c>
      <c r="G18" s="12"/>
      <c r="J18" s="1"/>
      <c r="K18" s="1"/>
      <c r="L18" s="1"/>
      <c r="M18" s="1"/>
      <c r="N18" s="1"/>
      <c r="O18" s="1"/>
      <c r="P18" s="1"/>
      <c r="X18" s="1"/>
    </row>
    <row r="19" spans="1:24" x14ac:dyDescent="0.45">
      <c r="B19" s="1" t="s">
        <v>48</v>
      </c>
      <c r="C19" s="5" t="s">
        <v>28</v>
      </c>
      <c r="D19" s="16">
        <v>1</v>
      </c>
      <c r="E19" s="12">
        <v>300</v>
      </c>
      <c r="F19" s="12">
        <f>E19/$F$3</f>
        <v>6.1224489795918364</v>
      </c>
      <c r="G19" s="12"/>
      <c r="J19" s="1"/>
      <c r="K19" s="1"/>
      <c r="L19" s="1"/>
      <c r="M19" s="1"/>
      <c r="N19" s="1"/>
      <c r="O19" s="1"/>
      <c r="P19" s="1"/>
      <c r="X19" s="1"/>
    </row>
    <row r="20" spans="1:24" ht="28.5" x14ac:dyDescent="0.45">
      <c r="B20" s="1" t="s">
        <v>47</v>
      </c>
      <c r="C20" s="5" t="s">
        <v>30</v>
      </c>
      <c r="D20" s="16">
        <v>1</v>
      </c>
      <c r="E20" s="12">
        <v>50</v>
      </c>
      <c r="F20" s="12">
        <f>E20/$F$3</f>
        <v>1.0204081632653061</v>
      </c>
      <c r="G20" s="12"/>
      <c r="J20" s="1"/>
      <c r="K20" s="1"/>
      <c r="L20" s="1"/>
      <c r="M20" s="1"/>
      <c r="N20" s="1"/>
      <c r="O20" s="1"/>
      <c r="P20" s="1"/>
      <c r="X20" s="1"/>
    </row>
    <row r="21" spans="1:24" x14ac:dyDescent="0.45">
      <c r="A21" s="5" t="s">
        <v>33</v>
      </c>
      <c r="B21" s="1"/>
      <c r="C21" s="5" t="s">
        <v>34</v>
      </c>
      <c r="D21" s="16">
        <v>1</v>
      </c>
      <c r="E21" s="12">
        <v>250</v>
      </c>
      <c r="F21" s="12">
        <f>E21/$F$3</f>
        <v>5.1020408163265305</v>
      </c>
      <c r="G21" s="12"/>
      <c r="H21" s="1"/>
      <c r="I21" s="1"/>
      <c r="J21" s="1"/>
      <c r="K21" s="1"/>
      <c r="N21" s="1"/>
      <c r="O21" s="1"/>
      <c r="P21" s="1"/>
      <c r="X21" s="1"/>
    </row>
    <row r="22" spans="1:24" x14ac:dyDescent="0.45">
      <c r="A22" s="1"/>
      <c r="B22" s="1"/>
      <c r="C22" s="5" t="s">
        <v>35</v>
      </c>
      <c r="D22" s="16">
        <v>1</v>
      </c>
      <c r="E22" s="12">
        <v>100</v>
      </c>
      <c r="F22" s="12">
        <f>E22/$F$3</f>
        <v>2.0408163265306123</v>
      </c>
      <c r="G22" s="12"/>
      <c r="H22" s="1"/>
      <c r="I22" s="1"/>
      <c r="J22" s="1"/>
      <c r="K22" s="1"/>
      <c r="N22" s="1"/>
      <c r="O22" s="1"/>
      <c r="P22" s="1"/>
      <c r="X22" s="1"/>
    </row>
    <row r="23" spans="1:24" x14ac:dyDescent="0.45">
      <c r="A23" s="1"/>
      <c r="B23" s="1"/>
      <c r="C23" s="5" t="s">
        <v>53</v>
      </c>
      <c r="D23" s="16">
        <v>1</v>
      </c>
      <c r="E23" s="12">
        <v>300</v>
      </c>
      <c r="F23" s="12">
        <f>E23/$F$3</f>
        <v>6.1224489795918364</v>
      </c>
      <c r="G23" s="12"/>
      <c r="H23" s="1"/>
      <c r="I23" s="1"/>
      <c r="J23" s="1"/>
      <c r="K23" s="1"/>
      <c r="N23" s="1"/>
      <c r="O23" s="1"/>
      <c r="P23" s="1"/>
      <c r="X23" s="1"/>
    </row>
    <row r="24" spans="1:24" x14ac:dyDescent="0.45">
      <c r="A24" s="1"/>
      <c r="B24" s="1"/>
      <c r="C24" s="5" t="s">
        <v>31</v>
      </c>
      <c r="D24" s="16"/>
      <c r="E24" s="12">
        <f>SUM(E8:E23)</f>
        <v>3276</v>
      </c>
      <c r="F24" s="12">
        <f>E24/$F$3</f>
        <v>66.857142857142861</v>
      </c>
      <c r="G24" s="12"/>
      <c r="H24" s="1" t="s">
        <v>37</v>
      </c>
      <c r="I24" s="1">
        <f>E24*1.2</f>
        <v>3931.2</v>
      </c>
      <c r="J24" s="1"/>
      <c r="K24" s="1">
        <f>I24/49</f>
        <v>80.228571428571428</v>
      </c>
      <c r="N24" s="1"/>
      <c r="O24" s="1"/>
      <c r="P24" s="1"/>
      <c r="X24" s="1"/>
    </row>
    <row r="25" spans="1:24" x14ac:dyDescent="0.45">
      <c r="A25" s="1"/>
      <c r="B25" s="1"/>
      <c r="C25" s="1"/>
      <c r="D25" s="16"/>
      <c r="E25" s="12"/>
      <c r="F25" s="12"/>
      <c r="G25" s="12"/>
      <c r="H25" s="1"/>
      <c r="I25" s="1"/>
      <c r="J25" s="1"/>
      <c r="K25" s="1"/>
      <c r="N25" s="1"/>
      <c r="O25" s="1"/>
      <c r="P25" s="1"/>
      <c r="X25" s="1"/>
    </row>
    <row r="26" spans="1:24" ht="28.5" x14ac:dyDescent="0.45">
      <c r="A26" s="1"/>
      <c r="B26" s="1"/>
      <c r="C26" s="5" t="s">
        <v>38</v>
      </c>
      <c r="D26" s="16"/>
      <c r="E26" s="12"/>
      <c r="F26" s="12"/>
      <c r="G26" s="12"/>
      <c r="H26" s="1" t="s">
        <v>39</v>
      </c>
      <c r="I26" s="1">
        <f>I24-E24</f>
        <v>655.19999999999982</v>
      </c>
      <c r="J26" s="1"/>
      <c r="K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45">
      <c r="A27" s="1"/>
      <c r="B27" s="1"/>
      <c r="C27" s="1"/>
      <c r="D27" s="16"/>
      <c r="E27" s="12"/>
      <c r="F27" s="12"/>
      <c r="G27" s="12"/>
      <c r="H27" s="1"/>
      <c r="I27" s="1">
        <v>360</v>
      </c>
      <c r="J27" s="1"/>
      <c r="K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45">
      <c r="A28" s="1"/>
      <c r="B28" s="1"/>
      <c r="C28" s="1"/>
      <c r="D28" s="16"/>
      <c r="E28" s="12"/>
      <c r="F28" s="12"/>
      <c r="G28" s="12"/>
      <c r="H28" s="1"/>
      <c r="I28" s="1"/>
      <c r="J28" s="1"/>
      <c r="K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E684-252E-49C3-AC63-C83A3ABBFD28}">
  <dimension ref="A1:G22"/>
  <sheetViews>
    <sheetView workbookViewId="0">
      <selection activeCell="D6" sqref="D6"/>
    </sheetView>
  </sheetViews>
  <sheetFormatPr baseColWidth="10" defaultRowHeight="14.25" x14ac:dyDescent="0.45"/>
  <cols>
    <col min="1" max="1" width="31.6640625" bestFit="1" customWidth="1"/>
    <col min="2" max="2" width="37.265625" bestFit="1" customWidth="1"/>
    <col min="3" max="3" width="12.73046875" bestFit="1" customWidth="1"/>
    <col min="4" max="4" width="17.53125" bestFit="1" customWidth="1"/>
    <col min="5" max="5" width="11.796875" bestFit="1" customWidth="1"/>
    <col min="6" max="6" width="29.3984375" bestFit="1" customWidth="1"/>
    <col min="7" max="7" width="8.86328125" bestFit="1" customWidth="1"/>
  </cols>
  <sheetData>
    <row r="1" spans="1:7" x14ac:dyDescent="0.45">
      <c r="A1" s="1"/>
      <c r="B1" s="1"/>
      <c r="C1" s="1">
        <f>79*2</f>
        <v>158</v>
      </c>
      <c r="D1" s="1"/>
      <c r="E1" s="1"/>
      <c r="F1" s="1"/>
      <c r="G1" s="1"/>
    </row>
    <row r="2" spans="1:7" x14ac:dyDescent="0.45">
      <c r="A2" s="1"/>
      <c r="B2" s="1"/>
      <c r="C2" s="1"/>
      <c r="D2" s="1"/>
      <c r="E2" s="1"/>
      <c r="F2" s="1"/>
      <c r="G2" s="1"/>
    </row>
    <row r="3" spans="1:7" x14ac:dyDescent="0.45">
      <c r="A3" s="1" t="s">
        <v>2</v>
      </c>
      <c r="B3" s="1"/>
      <c r="C3" s="1">
        <v>49</v>
      </c>
      <c r="D3" s="2">
        <v>56</v>
      </c>
      <c r="E3" s="1"/>
      <c r="F3" s="1"/>
      <c r="G3" s="1"/>
    </row>
    <row r="4" spans="1:7" x14ac:dyDescent="0.45">
      <c r="A4" s="1" t="s">
        <v>4</v>
      </c>
      <c r="B4" s="1">
        <v>140</v>
      </c>
      <c r="C4" s="3">
        <f>B4*C3</f>
        <v>6860</v>
      </c>
      <c r="D4" s="3">
        <f>B4*D3</f>
        <v>7840</v>
      </c>
      <c r="E4" s="4">
        <f>D4-C4</f>
        <v>980</v>
      </c>
      <c r="F4" s="1"/>
      <c r="G4" s="1"/>
    </row>
    <row r="5" spans="1:7" x14ac:dyDescent="0.4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/>
    </row>
    <row r="6" spans="1:7" ht="42.75" x14ac:dyDescent="0.45">
      <c r="A6" s="1" t="s">
        <v>13</v>
      </c>
      <c r="B6" s="6" t="s">
        <v>14</v>
      </c>
      <c r="C6" s="3">
        <v>3867.82</v>
      </c>
      <c r="D6" s="3">
        <f>COTIZACION!J17*2</f>
        <v>4252</v>
      </c>
      <c r="E6" s="3">
        <f>Table283137[[#This Row],[PRESUPUESTADO]]-Table283137[[#This Row],[REAL PESOS]]</f>
        <v>384.17999999999984</v>
      </c>
      <c r="F6" s="1"/>
      <c r="G6" s="1"/>
    </row>
    <row r="7" spans="1:7" x14ac:dyDescent="0.45">
      <c r="A7" s="1"/>
      <c r="B7" s="7" t="s">
        <v>16</v>
      </c>
      <c r="C7" s="3">
        <v>158</v>
      </c>
      <c r="D7" s="3">
        <f>COTIZACION!E17*2</f>
        <v>200</v>
      </c>
      <c r="E7" s="3">
        <f>Table283137[[#This Row],[PRESUPUESTADO]]-Table283137[[#This Row],[REAL PESOS]]</f>
        <v>42</v>
      </c>
      <c r="F7" s="1"/>
      <c r="G7" s="1"/>
    </row>
    <row r="8" spans="1:7" x14ac:dyDescent="0.45">
      <c r="A8" s="1"/>
      <c r="B8" s="7" t="s">
        <v>18</v>
      </c>
      <c r="C8" s="3">
        <v>0</v>
      </c>
      <c r="D8" s="3">
        <f>COTIZACION!E18*2</f>
        <v>100</v>
      </c>
      <c r="E8" s="3">
        <f>Table283137[[#This Row],[PRESUPUESTADO]]-Table283137[[#This Row],[REAL PESOS]]</f>
        <v>100</v>
      </c>
      <c r="F8" s="1"/>
      <c r="G8" s="1"/>
    </row>
    <row r="9" spans="1:7" x14ac:dyDescent="0.45">
      <c r="A9" s="1"/>
      <c r="B9" s="6" t="s">
        <v>20</v>
      </c>
      <c r="C9" s="3">
        <v>600</v>
      </c>
      <c r="D9" s="3">
        <f>COTIZACION!E19*2</f>
        <v>600</v>
      </c>
      <c r="E9" s="3">
        <f>Table283137[[#This Row],[PRESUPUESTADO]]-Table283137[[#This Row],[REAL PESOS]]</f>
        <v>0</v>
      </c>
      <c r="F9" s="1"/>
      <c r="G9" s="1"/>
    </row>
    <row r="10" spans="1:7" x14ac:dyDescent="0.45">
      <c r="A10" s="1"/>
      <c r="B10" s="1" t="s">
        <v>22</v>
      </c>
      <c r="C10" s="3">
        <v>43</v>
      </c>
      <c r="D10" s="3">
        <f>COTIZACION!E20*2</f>
        <v>100</v>
      </c>
      <c r="E10" s="3">
        <f>Table283137[[#This Row],[PRESUPUESTADO]]-Table283137[[#This Row],[REAL PESOS]]</f>
        <v>57</v>
      </c>
      <c r="F10" s="1"/>
      <c r="G10" s="1"/>
    </row>
    <row r="11" spans="1:7" x14ac:dyDescent="0.45">
      <c r="A11" s="1"/>
      <c r="B11" s="1" t="s">
        <v>24</v>
      </c>
      <c r="C11" s="3">
        <v>500</v>
      </c>
      <c r="D11" s="3">
        <f>COTIZACION!E23*2</f>
        <v>600</v>
      </c>
      <c r="E11" s="3">
        <f>Table283137[[#This Row],[PRESUPUESTADO]]-Table283137[[#This Row],[REAL PESOS]]</f>
        <v>100</v>
      </c>
      <c r="F11" s="1"/>
      <c r="G11" s="1"/>
    </row>
    <row r="12" spans="1:7" x14ac:dyDescent="0.45">
      <c r="A12" s="1"/>
      <c r="B12" s="1"/>
      <c r="C12" s="3"/>
      <c r="D12" s="3">
        <v>0</v>
      </c>
      <c r="E12" s="3">
        <f>Table283137[[#This Row],[PRESUPUESTADO]]-Table283137[[#This Row],[REAL PESOS]]</f>
        <v>0</v>
      </c>
      <c r="F12" s="1"/>
      <c r="G12" s="1"/>
    </row>
    <row r="13" spans="1:7" x14ac:dyDescent="0.45">
      <c r="A13" s="1"/>
      <c r="B13" s="1"/>
      <c r="C13" s="3"/>
      <c r="D13" s="3">
        <v>0</v>
      </c>
      <c r="E13" s="3">
        <f>Table283137[[#This Row],[PRESUPUESTADO]]-Table283137[[#This Row],[REAL PESOS]]</f>
        <v>0</v>
      </c>
      <c r="F13" s="1"/>
      <c r="G13" s="1"/>
    </row>
    <row r="14" spans="1:7" x14ac:dyDescent="0.45">
      <c r="A14" s="1"/>
      <c r="B14" s="1"/>
      <c r="C14" s="3"/>
      <c r="D14" s="3">
        <v>0</v>
      </c>
      <c r="E14" s="3">
        <f>Table283137[[#This Row],[PRESUPUESTADO]]-Table283137[[#This Row],[REAL PESOS]]</f>
        <v>0</v>
      </c>
      <c r="F14" s="1"/>
      <c r="G14" s="1"/>
    </row>
    <row r="15" spans="1:7" x14ac:dyDescent="0.45">
      <c r="A15" s="1"/>
      <c r="B15" s="1" t="s">
        <v>27</v>
      </c>
      <c r="C15" s="3">
        <f>100*D3</f>
        <v>5600</v>
      </c>
      <c r="D15" s="3">
        <f>100*C3</f>
        <v>4900</v>
      </c>
      <c r="E15" s="3">
        <f>Table283137[[#This Row],[REAL PESOS]]-Table283137[[#This Row],[PRESUPUESTADO]]</f>
        <v>700</v>
      </c>
      <c r="F15" s="1"/>
      <c r="G15" s="1"/>
    </row>
    <row r="16" spans="1:7" x14ac:dyDescent="0.45">
      <c r="A16" s="1"/>
      <c r="B16" s="1" t="s">
        <v>29</v>
      </c>
      <c r="C16" s="3"/>
      <c r="D16" s="3"/>
      <c r="E16" s="3">
        <f>E4</f>
        <v>980</v>
      </c>
      <c r="F16" s="1"/>
      <c r="G16" s="1"/>
    </row>
    <row r="17" spans="1:7" x14ac:dyDescent="0.45">
      <c r="A17" s="1" t="s">
        <v>31</v>
      </c>
      <c r="B17" s="1"/>
      <c r="C17" s="3">
        <f>SUBTOTAL(109,C6:C16)</f>
        <v>10768.82</v>
      </c>
      <c r="D17" s="3">
        <f>SUBTOTAL(109,D6:D16)</f>
        <v>10752</v>
      </c>
      <c r="E17" s="3">
        <f>SUM(E6:E16)</f>
        <v>2363.1799999999998</v>
      </c>
      <c r="F17" s="1" t="s">
        <v>32</v>
      </c>
      <c r="G17" s="1"/>
    </row>
    <row r="18" spans="1:7" x14ac:dyDescent="0.45">
      <c r="A18" s="1"/>
      <c r="B18" s="1"/>
      <c r="C18" s="1"/>
      <c r="D18" s="1"/>
      <c r="E18" s="1"/>
      <c r="F18" s="1"/>
      <c r="G18" s="1"/>
    </row>
    <row r="19" spans="1:7" x14ac:dyDescent="0.45">
      <c r="A19" s="1"/>
      <c r="B19" s="1"/>
      <c r="C19" s="1"/>
      <c r="D19" s="1"/>
      <c r="E19" s="1"/>
      <c r="F19" s="1"/>
      <c r="G19" s="1"/>
    </row>
    <row r="20" spans="1:7" x14ac:dyDescent="0.45">
      <c r="A20" s="8"/>
      <c r="B20" s="9" t="s">
        <v>36</v>
      </c>
      <c r="C20" s="10">
        <v>5600</v>
      </c>
      <c r="D20" s="9"/>
      <c r="E20" s="1"/>
      <c r="F20" s="1"/>
      <c r="G20" s="11">
        <f>E17+C20</f>
        <v>7963.18</v>
      </c>
    </row>
    <row r="21" spans="1:7" x14ac:dyDescent="0.45">
      <c r="A21" s="1"/>
      <c r="B21" s="1"/>
      <c r="C21" s="1"/>
      <c r="D21" s="1"/>
      <c r="E21" s="1"/>
      <c r="F21" s="1"/>
      <c r="G21" s="1"/>
    </row>
    <row r="22" spans="1:7" x14ac:dyDescent="0.4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COTIZACION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Zetina Toache</dc:creator>
  <cp:lastModifiedBy>Carlos Zetina Toache</cp:lastModifiedBy>
  <dcterms:created xsi:type="dcterms:W3CDTF">2026-07-20T01:31:29Z</dcterms:created>
  <dcterms:modified xsi:type="dcterms:W3CDTF">2026-07-20T02:14:24Z</dcterms:modified>
</cp:coreProperties>
</file>